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rthadhikari/"/>
    </mc:Choice>
  </mc:AlternateContent>
  <xr:revisionPtr revIDLastSave="0" documentId="13_ncr:1_{285B6282-7525-5A49-A849-056C01B6D7BD}" xr6:coauthVersionLast="47" xr6:coauthVersionMax="47" xr10:uidLastSave="{00000000-0000-0000-0000-000000000000}"/>
  <bookViews>
    <workbookView xWindow="0" yWindow="780" windowWidth="36000" windowHeight="22600" xr2:uid="{5B8F06A3-231C-1646-A440-4EFCD61CD5DC}"/>
  </bookViews>
  <sheets>
    <sheet name="Monthly KPIs" sheetId="1" r:id="rId1"/>
    <sheet name="Churn" sheetId="2" r:id="rId2"/>
    <sheet name="A-B Test" sheetId="3" r:id="rId3"/>
    <sheet name="Executive Summary" sheetId="4" r:id="rId4"/>
    <sheet name="Dashboard" sheetId="6" r:id="rId5"/>
  </sheets>
  <definedNames>
    <definedName name="_xlchart.v1.0" hidden="1">'Monthly KPIs'!$A$2:$A$13</definedName>
    <definedName name="_xlchart.v1.1" hidden="1">'Monthly KPIs'!$B$1</definedName>
    <definedName name="_xlchart.v1.2" hidden="1">'Monthly KPIs'!$B$2:$B$13</definedName>
    <definedName name="_xlchart.v1.3" hidden="1">'Monthly KPIs'!$A$2:$A$13</definedName>
    <definedName name="_xlchart.v1.4" hidden="1">'Monthly KPIs'!$B$1</definedName>
    <definedName name="_xlchart.v1.5" hidden="1">'Monthly KPIs'!$B$2:$B$13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D3" i="6" s="1"/>
  <c r="A2" i="4"/>
  <c r="B3" i="6" s="1"/>
  <c r="C2" i="4" a="1"/>
  <c r="C2" i="4" s="1"/>
  <c r="F3" i="6" s="1"/>
  <c r="C3" i="2"/>
  <c r="D3" i="2" s="1"/>
  <c r="C2" i="2"/>
  <c r="D2" i="2" s="1"/>
  <c r="D2" i="4" s="1" a="1"/>
  <c r="D2" i="4" s="1"/>
  <c r="H3" i="6" s="1"/>
  <c r="G2" i="3"/>
  <c r="E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<sst xmlns="http://schemas.openxmlformats.org/spreadsheetml/2006/main" count="29" uniqueCount="27">
  <si>
    <t>Month</t>
  </si>
  <si>
    <t>MRR</t>
  </si>
  <si>
    <t>Paid Subscriptions</t>
  </si>
  <si>
    <t>ARPU</t>
  </si>
  <si>
    <t>Failed Payments</t>
  </si>
  <si>
    <t>Fail Rate %</t>
  </si>
  <si>
    <t>Churned Subscriptions</t>
  </si>
  <si>
    <t>B</t>
  </si>
  <si>
    <t>A</t>
  </si>
  <si>
    <t>Variant</t>
  </si>
  <si>
    <t>Conversion Rate %</t>
  </si>
  <si>
    <t>Conversion</t>
  </si>
  <si>
    <t>Users</t>
  </si>
  <si>
    <t>Paid Subscriptions (Prev Month)</t>
  </si>
  <si>
    <t>Churn Rate</t>
  </si>
  <si>
    <t>Experiment Revenue</t>
  </si>
  <si>
    <t>Z-score</t>
  </si>
  <si>
    <t>Decision</t>
  </si>
  <si>
    <t> Total Revenue</t>
  </si>
  <si>
    <t>Latest Month MRR</t>
  </si>
  <si>
    <t>Latest ARPU</t>
  </si>
  <si>
    <t>Latest Churn Rate</t>
  </si>
  <si>
    <t>Customer Lifetime Value (CLV)</t>
  </si>
  <si>
    <t>Total Revenue</t>
  </si>
  <si>
    <t>Latest MRR</t>
  </si>
  <si>
    <t>Latest Churn</t>
  </si>
  <si>
    <t>SaaS Revenue &amp; Retention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</si>
</sst>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7" formatCode="m/d/yy;@"/>
    <numFmt numFmtId="174" formatCode="0.0%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3.5"/>
      <color theme="1"/>
      <name val="Aptos Narrow (Body)"/>
    </font>
    <font>
      <b/>
      <sz val="20"/>
      <color theme="1"/>
      <name val="Aptos Narrow (Body)"/>
    </font>
    <font>
      <sz val="20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scheme val="minor"/>
    </font>
    <font>
      <b/>
      <sz val="24"/>
      <color theme="1"/>
      <name val="Aptos Narrow"/>
      <scheme val="minor"/>
    </font>
    <font>
      <b/>
      <sz val="28"/>
      <color theme="1" tint="0.249977111117893"/>
      <name val="Aptos Narrow (Body)"/>
    </font>
    <font>
      <b/>
      <i/>
      <u/>
      <sz val="28"/>
      <color theme="1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167" fontId="3" fillId="0" borderId="0" xfId="0" applyNumberFormat="1" applyFont="1"/>
    <xf numFmtId="0" fontId="2" fillId="0" borderId="0" xfId="0" applyFont="1"/>
    <xf numFmtId="2" fontId="0" fillId="0" borderId="0" xfId="0" applyNumberFormat="1"/>
    <xf numFmtId="0" fontId="4" fillId="0" borderId="0" xfId="0" applyFont="1"/>
    <xf numFmtId="10" fontId="0" fillId="0" borderId="0" xfId="1" applyNumberFormat="1" applyFont="1"/>
    <xf numFmtId="174" fontId="0" fillId="0" borderId="0" xfId="0" applyNumberFormat="1"/>
    <xf numFmtId="164" fontId="10" fillId="0" borderId="0" xfId="0" applyNumberFormat="1" applyFont="1"/>
    <xf numFmtId="164" fontId="8" fillId="0" borderId="0" xfId="0" applyNumberFormat="1" applyFont="1"/>
    <xf numFmtId="0" fontId="7" fillId="2" borderId="0" xfId="0" applyFont="1" applyFill="1"/>
    <xf numFmtId="0" fontId="9" fillId="2" borderId="0" xfId="0" applyFont="1" applyFill="1"/>
    <xf numFmtId="164" fontId="11" fillId="3" borderId="0" xfId="0" applyNumberFormat="1" applyFont="1" applyFill="1" applyAlignment="1">
      <alignment horizontal="center"/>
    </xf>
    <xf numFmtId="10" fontId="11" fillId="3" borderId="0" xfId="0" applyNumberFormat="1" applyFont="1" applyFill="1"/>
    <xf numFmtId="167" fontId="2" fillId="2" borderId="0" xfId="0" applyNumberFormat="1" applyFont="1" applyFill="1"/>
    <xf numFmtId="0" fontId="2" fillId="2" borderId="0" xfId="0" applyFont="1" applyFill="1"/>
    <xf numFmtId="10" fontId="2" fillId="2" borderId="0" xfId="0" applyNumberFormat="1" applyFont="1" applyFill="1"/>
    <xf numFmtId="174" fontId="2" fillId="2" borderId="0" xfId="0" applyNumberFormat="1" applyFont="1" applyFill="1"/>
    <xf numFmtId="2" fontId="2" fillId="2" borderId="0" xfId="0" applyNumberFormat="1" applyFont="1" applyFill="1"/>
    <xf numFmtId="10" fontId="2" fillId="2" borderId="0" xfId="1" applyNumberFormat="1" applyFont="1" applyFill="1"/>
    <xf numFmtId="164" fontId="2" fillId="2" borderId="0" xfId="0" applyNumberFormat="1" applyFont="1" applyFill="1"/>
    <xf numFmtId="0" fontId="5" fillId="2" borderId="0" xfId="0" applyFont="1" applyFill="1"/>
    <xf numFmtId="164" fontId="5" fillId="2" borderId="0" xfId="0" applyNumberFormat="1" applyFont="1" applyFill="1"/>
    <xf numFmtId="10" fontId="5" fillId="2" borderId="0" xfId="0" applyNumberFormat="1" applyFont="1" applyFill="1"/>
    <xf numFmtId="164" fontId="6" fillId="2" borderId="0" xfId="0" applyNumberFormat="1" applyFont="1" applyFill="1"/>
    <xf numFmtId="0" fontId="12" fillId="0" borderId="0" xfId="0" applyFont="1" applyAlignment="1"/>
    <xf numFmtId="164" fontId="10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Churn!$D$1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Churn!$A$2:$A$3</c:f>
              <c:numCache>
                <c:formatCode>m/d/yy</c:formatCode>
                <c:ptCount val="2"/>
                <c:pt idx="0">
                  <c:v>45962</c:v>
                </c:pt>
                <c:pt idx="1">
                  <c:v>45992</c:v>
                </c:pt>
              </c:numCache>
            </c:numRef>
          </c:cat>
          <c:val>
            <c:numRef>
              <c:f>Churn!$D$2:$D$3</c:f>
              <c:numCache>
                <c:formatCode>0.0%</c:formatCode>
                <c:ptCount val="2"/>
                <c:pt idx="0">
                  <c:v>0.2285827867223216</c:v>
                </c:pt>
                <c:pt idx="1">
                  <c:v>0.14395796847635728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6-3642-8B7F-E55D48F2A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347903"/>
        <c:axId val="697337151"/>
      </c:barChart>
      <c:dateAx>
        <c:axId val="69734790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37151"/>
        <c:crosses val="autoZero"/>
        <c:auto val="1"/>
        <c:lblOffset val="100"/>
        <c:baseTimeUnit val="months"/>
      </c:dateAx>
      <c:valAx>
        <c:axId val="69733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4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Monthly MRR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KPIs'!$B$1</c:f>
              <c:strCache>
                <c:ptCount val="1"/>
                <c:pt idx="0">
                  <c:v>MRR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'Monthly KPIs'!$A$2:$A$13</c:f>
              <c:numCache>
                <c:formatCode>m/d/yy;@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'Monthly KPIs'!$B$2:$B$13</c:f>
              <c:numCache>
                <c:formatCode>"$"#,##0.00</c:formatCode>
                <c:ptCount val="12"/>
                <c:pt idx="0">
                  <c:v>73996.3</c:v>
                </c:pt>
                <c:pt idx="1">
                  <c:v>143637.10999999999</c:v>
                </c:pt>
                <c:pt idx="2">
                  <c:v>184228.99</c:v>
                </c:pt>
                <c:pt idx="3">
                  <c:v>131678.60999999999</c:v>
                </c:pt>
                <c:pt idx="4">
                  <c:v>192069.5</c:v>
                </c:pt>
                <c:pt idx="5">
                  <c:v>264492.75</c:v>
                </c:pt>
                <c:pt idx="6">
                  <c:v>282483.75</c:v>
                </c:pt>
                <c:pt idx="7">
                  <c:v>191409.69</c:v>
                </c:pt>
                <c:pt idx="8">
                  <c:v>172912.9</c:v>
                </c:pt>
                <c:pt idx="9">
                  <c:v>142540.22</c:v>
                </c:pt>
                <c:pt idx="10">
                  <c:v>147973.9</c:v>
                </c:pt>
                <c:pt idx="11">
                  <c:v>9245.6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1-B345-8A3E-38DD1A234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359167"/>
        <c:axId val="1274360959"/>
      </c:lineChart>
      <c:dateAx>
        <c:axId val="1274359167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60959"/>
        <c:crosses val="autoZero"/>
        <c:auto val="1"/>
        <c:lblOffset val="100"/>
        <c:baseTimeUnit val="months"/>
      </c:dateAx>
      <c:valAx>
        <c:axId val="12743609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5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ARPU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'Monthly KPIs'!$D$1</c:f>
              <c:strCache>
                <c:ptCount val="1"/>
                <c:pt idx="0">
                  <c:v>ARPU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'Monthly KPIs'!$A$2:$A$13</c:f>
              <c:numCache>
                <c:formatCode>m/d/yy;@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'Monthly KPIs'!$D$2:$D$13</c:f>
              <c:numCache>
                <c:formatCode>"$"#,##0.00</c:formatCode>
                <c:ptCount val="12"/>
                <c:pt idx="0">
                  <c:v>199.99</c:v>
                </c:pt>
                <c:pt idx="1">
                  <c:v>111.43</c:v>
                </c:pt>
                <c:pt idx="2">
                  <c:v>87.69</c:v>
                </c:pt>
                <c:pt idx="3">
                  <c:v>61.56</c:v>
                </c:pt>
                <c:pt idx="4">
                  <c:v>62.97</c:v>
                </c:pt>
                <c:pt idx="5">
                  <c:v>55.98</c:v>
                </c:pt>
                <c:pt idx="6">
                  <c:v>50.22</c:v>
                </c:pt>
                <c:pt idx="7">
                  <c:v>38.049999999999997</c:v>
                </c:pt>
                <c:pt idx="8">
                  <c:v>30.28</c:v>
                </c:pt>
                <c:pt idx="9">
                  <c:v>23.84</c:v>
                </c:pt>
                <c:pt idx="10">
                  <c:v>22.39</c:v>
                </c:pt>
                <c:pt idx="11">
                  <c:v>21.01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9-6B41-A628-0F338E4A3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978111"/>
        <c:axId val="690966463"/>
      </c:lineChart>
      <c:dateAx>
        <c:axId val="690978111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66463"/>
        <c:crosses val="autoZero"/>
        <c:auto val="1"/>
        <c:lblOffset val="100"/>
        <c:baseTimeUnit val="months"/>
      </c:dateAx>
      <c:valAx>
        <c:axId val="690966463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7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Monthly 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Churn!$D$1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Churn!$A$2:$A$3</c:f>
              <c:numCache>
                <c:formatCode>m/d/yy</c:formatCode>
                <c:ptCount val="2"/>
                <c:pt idx="0">
                  <c:v>45962</c:v>
                </c:pt>
                <c:pt idx="1">
                  <c:v>45992</c:v>
                </c:pt>
              </c:numCache>
            </c:numRef>
          </c:cat>
          <c:val>
            <c:numRef>
              <c:f>Churn!$D$2:$D$3</c:f>
              <c:numCache>
                <c:formatCode>0.0%</c:formatCode>
                <c:ptCount val="2"/>
                <c:pt idx="0">
                  <c:v>0.2285827867223216</c:v>
                </c:pt>
                <c:pt idx="1">
                  <c:v>0.14395796847635728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6-BE4B-BF51-B165041E4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7347903"/>
        <c:axId val="697337151"/>
      </c:barChart>
      <c:dateAx>
        <c:axId val="69734790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37151"/>
        <c:crosses val="autoZero"/>
        <c:auto val="1"/>
        <c:lblOffset val="100"/>
        <c:baseTimeUnit val="months"/>
      </c:dateAx>
      <c:valAx>
        <c:axId val="69733715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4790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A/B Conversion Rate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'A-B Test'!$D$1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'A-B Test'!$A$2:$A$3</c:f>
              <c:strCache>
                <c:ptCount val="2"/>
                <c:pt idx="0">
                  <c:v>B</c:v>
                </c:pt>
                <c:pt idx="1">
                  <c:v>A</c:v>
                </c:pt>
              </c:strCache>
            </c:strRef>
          </c:cat>
          <c:val>
            <c:numRef>
              <c:f>'A-B Test'!$D$2:$D$3</c:f>
              <c:numCache>
                <c:formatCode>0.00%</c:formatCode>
                <c:ptCount val="2"/>
                <c:pt idx="0">
                  <c:v>0.35759999999999997</c:v>
                </c:pt>
                <c:pt idx="1">
                  <c:v>0.28739999999999999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C-2A49-B4DC-AA29F336C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95195327"/>
        <c:axId val="687924863"/>
      </c:barChart>
      <c:catAx>
        <c:axId val="69519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24863"/>
        <c:crosses val="autoZero"/>
        <c:auto val="1"/>
        <c:lblAlgn val="ctr"/>
        <c:lblOffset val="100"/>
        <c:noMultiLvlLbl val="0"/>
      </c:catAx>
      <c:valAx>
        <c:axId val="68792486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19532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752441</xdr:colOff>
      <xdr:row>7</xdr:row>
      <xdr:rowOff>96410</xdr:rowOff>
    </xdr:from>
    <xdr:to>
      <xdr:col>5</xdr:col>
      <xdr:colOff>80570</xdr:colOff>
      <xdr:row>20</xdr:row>
      <xdr:rowOff>176707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FD748-29B1-85B5-789E-57B004332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719157</xdr:colOff>
      <xdr:row>4</xdr:row>
      <xdr:rowOff>313675</xdr:rowOff>
    </xdr:from>
    <xdr:to>
      <xdr:col>3</xdr:col>
      <xdr:colOff>922649</xdr:colOff>
      <xdr:row>13</xdr:row>
      <xdr:rowOff>173675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E307D-FB7B-A54A-8102-1F1D61EF6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22103</xdr:colOff>
      <xdr:row>4</xdr:row>
      <xdr:rowOff>291965</xdr:rowOff>
    </xdr:from>
    <xdr:to>
      <xdr:col>7</xdr:col>
      <xdr:colOff>691444</xdr:colOff>
      <xdr:row>13</xdr:row>
      <xdr:rowOff>184529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E28853-3B9C-7A49-BEEC-7B89F5E79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746555</xdr:colOff>
      <xdr:row>13</xdr:row>
      <xdr:rowOff>276141</xdr:rowOff>
    </xdr:from>
    <xdr:to>
      <xdr:col>3</xdr:col>
      <xdr:colOff>338013</xdr:colOff>
      <xdr:row>21</xdr:row>
      <xdr:rowOff>265124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CC6351-76BE-2545-8DC8-23F2DBF72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58703</xdr:colOff>
      <xdr:row>13</xdr:row>
      <xdr:rowOff>299504</xdr:rowOff>
    </xdr:from>
    <xdr:to>
      <xdr:col>7</xdr:col>
      <xdr:colOff>655885</xdr:colOff>
      <xdr:row>21</xdr:row>
      <xdr:rowOff>279184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6CE845-9220-474B-BDA6-4888DD71A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B2F0-F49B-C947-9304-BD432E32AADF}">
  <dimension ref="A1:F13"/>
  <sheetViews>
    <sheetView tabSelected="1" zoomScale="222" workbookViewId="0">
      <selection activeCell="H6" sqref="H6"/>
    </sheetView>
  </sheetViews>
  <sheetFormatPr baseColWidth="10" defaultRowHeight="16" x14ac:dyDescent="0.2"/>
  <cols>
    <col min="1" max="1" width="10.83203125" style="4"/>
    <col min="2" max="2" width="11.33203125" bestFit="1" customWidth="1"/>
    <col min="3" max="3" width="17" customWidth="1"/>
    <col min="5" max="5" width="14.33203125" customWidth="1"/>
    <col min="6" max="6" width="13.83203125" style="3" customWidth="1"/>
  </cols>
  <sheetData>
    <row r="1" spans="1:6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</row>
    <row r="2" spans="1:6" x14ac:dyDescent="0.2">
      <c r="A2" s="4">
        <v>45717</v>
      </c>
      <c r="B2" s="2">
        <v>73996.3</v>
      </c>
      <c r="C2">
        <v>370</v>
      </c>
      <c r="D2" s="2">
        <v>199.99</v>
      </c>
      <c r="E2">
        <v>0</v>
      </c>
      <c r="F2" s="3">
        <v>0</v>
      </c>
    </row>
    <row r="3" spans="1:6" x14ac:dyDescent="0.2">
      <c r="A3" s="4">
        <v>45748</v>
      </c>
      <c r="B3" s="2">
        <v>143637.10999999999</v>
      </c>
      <c r="C3">
        <v>1289</v>
      </c>
      <c r="D3" s="2">
        <v>111.43</v>
      </c>
      <c r="E3">
        <v>0</v>
      </c>
      <c r="F3" s="3">
        <v>0</v>
      </c>
    </row>
    <row r="4" spans="1:6" x14ac:dyDescent="0.2">
      <c r="A4" s="4">
        <v>45778</v>
      </c>
      <c r="B4" s="2">
        <v>184228.99</v>
      </c>
      <c r="C4">
        <v>2101</v>
      </c>
      <c r="D4" s="2">
        <v>87.69</v>
      </c>
      <c r="E4">
        <v>0</v>
      </c>
      <c r="F4" s="3">
        <v>0</v>
      </c>
    </row>
    <row r="5" spans="1:6" x14ac:dyDescent="0.2">
      <c r="A5" s="4">
        <v>45809</v>
      </c>
      <c r="B5" s="2">
        <v>131678.60999999999</v>
      </c>
      <c r="C5">
        <v>2139</v>
      </c>
      <c r="D5" s="2">
        <v>61.56</v>
      </c>
      <c r="E5">
        <v>874</v>
      </c>
      <c r="F5" s="3">
        <v>0.29010000000000002</v>
      </c>
    </row>
    <row r="6" spans="1:6" x14ac:dyDescent="0.2">
      <c r="A6" s="4">
        <v>45839</v>
      </c>
      <c r="B6" s="2">
        <v>192069.5</v>
      </c>
      <c r="C6">
        <v>3050</v>
      </c>
      <c r="D6" s="2">
        <v>62.97</v>
      </c>
      <c r="E6">
        <v>837</v>
      </c>
      <c r="F6" s="3">
        <v>0.21529999999999999</v>
      </c>
    </row>
    <row r="7" spans="1:6" x14ac:dyDescent="0.2">
      <c r="A7" s="4">
        <v>45870</v>
      </c>
      <c r="B7" s="2">
        <v>264492.75</v>
      </c>
      <c r="C7">
        <v>4725</v>
      </c>
      <c r="D7" s="2">
        <v>55.98</v>
      </c>
      <c r="E7">
        <v>0</v>
      </c>
      <c r="F7" s="3">
        <v>0</v>
      </c>
    </row>
    <row r="8" spans="1:6" x14ac:dyDescent="0.2">
      <c r="A8" s="4">
        <v>45901</v>
      </c>
      <c r="B8" s="2">
        <v>282483.75</v>
      </c>
      <c r="C8">
        <v>5625</v>
      </c>
      <c r="D8" s="2">
        <v>50.22</v>
      </c>
      <c r="E8">
        <v>0</v>
      </c>
      <c r="F8" s="3">
        <v>0</v>
      </c>
    </row>
    <row r="9" spans="1:6" x14ac:dyDescent="0.2">
      <c r="A9" s="4">
        <v>45931</v>
      </c>
      <c r="B9" s="2">
        <v>191409.69</v>
      </c>
      <c r="C9">
        <v>5031</v>
      </c>
      <c r="D9" s="2">
        <v>38.049999999999997</v>
      </c>
      <c r="E9">
        <v>1481</v>
      </c>
      <c r="F9" s="3">
        <v>0.22739999999999999</v>
      </c>
    </row>
    <row r="10" spans="1:6" x14ac:dyDescent="0.2">
      <c r="A10" s="4">
        <v>45962</v>
      </c>
      <c r="B10" s="2">
        <v>172912.9</v>
      </c>
      <c r="C10">
        <v>5710</v>
      </c>
      <c r="D10" s="2">
        <v>30.28</v>
      </c>
      <c r="E10">
        <v>1087</v>
      </c>
      <c r="F10" s="3">
        <v>0.15989999999999999</v>
      </c>
    </row>
    <row r="11" spans="1:6" x14ac:dyDescent="0.2">
      <c r="A11" s="4">
        <v>45992</v>
      </c>
      <c r="B11" s="2">
        <v>142540.22</v>
      </c>
      <c r="C11">
        <v>5978</v>
      </c>
      <c r="D11" s="2">
        <v>23.84</v>
      </c>
      <c r="E11">
        <v>0</v>
      </c>
      <c r="F11" s="3">
        <v>0</v>
      </c>
    </row>
    <row r="12" spans="1:6" x14ac:dyDescent="0.2">
      <c r="A12" s="4">
        <v>46023</v>
      </c>
      <c r="B12" s="2">
        <v>147973.9</v>
      </c>
      <c r="C12">
        <v>6610</v>
      </c>
      <c r="D12" s="2">
        <v>22.39</v>
      </c>
      <c r="E12">
        <v>0</v>
      </c>
      <c r="F12" s="3">
        <v>0</v>
      </c>
    </row>
    <row r="13" spans="1:6" x14ac:dyDescent="0.2">
      <c r="A13" s="4">
        <v>46054</v>
      </c>
      <c r="B13" s="2">
        <v>9245.6</v>
      </c>
      <c r="C13">
        <v>440</v>
      </c>
      <c r="D13" s="2">
        <v>21.01</v>
      </c>
      <c r="E13">
        <v>0</v>
      </c>
      <c r="F1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4207-EDD0-EF4B-B4F0-B43E710FEADA}">
  <dimension ref="A1:D3"/>
  <sheetViews>
    <sheetView zoomScale="186" workbookViewId="0">
      <selection activeCell="D1" activeCellId="1" sqref="A1:A3 D1:D3"/>
    </sheetView>
  </sheetViews>
  <sheetFormatPr baseColWidth="10" defaultRowHeight="16" x14ac:dyDescent="0.2"/>
  <cols>
    <col min="2" max="2" width="19.83203125" customWidth="1"/>
    <col min="3" max="3" width="27.33203125" customWidth="1"/>
    <col min="4" max="4" width="10.83203125" style="9"/>
  </cols>
  <sheetData>
    <row r="1" spans="1:4" x14ac:dyDescent="0.2">
      <c r="A1" s="17" t="s">
        <v>0</v>
      </c>
      <c r="B1" s="17" t="s">
        <v>6</v>
      </c>
      <c r="C1" s="17" t="s">
        <v>13</v>
      </c>
      <c r="D1" s="19" t="s">
        <v>14</v>
      </c>
    </row>
    <row r="2" spans="1:4" x14ac:dyDescent="0.2">
      <c r="A2" s="1">
        <v>45962</v>
      </c>
      <c r="B2">
        <v>1150</v>
      </c>
      <c r="C2">
        <f>_xlfn.XLOOKUP(EDATE(A2,-1),'Monthly KPIs'!A:A,'Monthly KPIs'!C:C)</f>
        <v>5031</v>
      </c>
      <c r="D2" s="9">
        <f>IFERROR(B2/C2,0)</f>
        <v>0.2285827867223216</v>
      </c>
    </row>
    <row r="3" spans="1:4" x14ac:dyDescent="0.2">
      <c r="A3" s="1">
        <v>45992</v>
      </c>
      <c r="B3">
        <v>822</v>
      </c>
      <c r="C3">
        <f>IFERROR(_xlfn.XLOOKUP(EDATE(A3,-1),'Monthly KPIs'!A:A,'Monthly KPIs'!C:C),"")</f>
        <v>5710</v>
      </c>
      <c r="D3" s="9">
        <f>IFERROR(B3/C3,0)</f>
        <v>0.14395796847635728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E028-136B-614D-AC10-956A36A1EEBB}">
  <dimension ref="A1:I3"/>
  <sheetViews>
    <sheetView zoomScale="175" workbookViewId="0">
      <selection activeCell="D7" sqref="D7"/>
    </sheetView>
  </sheetViews>
  <sheetFormatPr baseColWidth="10" defaultRowHeight="16" x14ac:dyDescent="0.2"/>
  <cols>
    <col min="1" max="1" width="10.83203125" style="4"/>
    <col min="2" max="2" width="11.33203125" style="6" bestFit="1" customWidth="1"/>
    <col min="3" max="3" width="17" customWidth="1"/>
    <col min="4" max="4" width="17" style="8" customWidth="1"/>
    <col min="5" max="5" width="19.33203125" style="2" customWidth="1"/>
    <col min="6" max="6" width="13.83203125" style="6" customWidth="1"/>
    <col min="7" max="7" width="21.33203125" customWidth="1"/>
  </cols>
  <sheetData>
    <row r="1" spans="1:9" x14ac:dyDescent="0.2">
      <c r="A1" s="16" t="s">
        <v>9</v>
      </c>
      <c r="B1" s="20" t="s">
        <v>12</v>
      </c>
      <c r="C1" s="17" t="s">
        <v>11</v>
      </c>
      <c r="D1" s="21" t="s">
        <v>10</v>
      </c>
      <c r="E1" s="22" t="s">
        <v>15</v>
      </c>
      <c r="F1" s="20" t="s">
        <v>16</v>
      </c>
      <c r="G1" s="17" t="s">
        <v>17</v>
      </c>
      <c r="H1" s="5"/>
      <c r="I1" s="5"/>
    </row>
    <row r="2" spans="1:9" x14ac:dyDescent="0.2">
      <c r="A2" s="4" t="s">
        <v>7</v>
      </c>
      <c r="B2" s="6">
        <v>5000</v>
      </c>
      <c r="C2">
        <v>1788</v>
      </c>
      <c r="D2" s="8">
        <v>0.35759999999999997</v>
      </c>
      <c r="E2" s="2">
        <v>65292</v>
      </c>
      <c r="F2" s="6">
        <v>7.5091000000000001</v>
      </c>
      <c r="G2" t="str">
        <f>IF(ABS(F2)&gt;1.96,"Statistically Significant","Not Significant")</f>
        <v>Statistically Significant</v>
      </c>
      <c r="I2" s="7"/>
    </row>
    <row r="3" spans="1:9" x14ac:dyDescent="0.2">
      <c r="A3" s="4" t="s">
        <v>8</v>
      </c>
      <c r="B3" s="6">
        <v>5000</v>
      </c>
      <c r="C3">
        <v>1437</v>
      </c>
      <c r="D3" s="8">
        <v>0.28739999999999999</v>
      </c>
      <c r="E3" s="2">
        <v>54615</v>
      </c>
      <c r="I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9238-65F1-C249-91E3-1C874115F5E4}">
  <dimension ref="A1:E2"/>
  <sheetViews>
    <sheetView zoomScale="150" workbookViewId="0">
      <selection sqref="A1:E1"/>
    </sheetView>
  </sheetViews>
  <sheetFormatPr baseColWidth="10" defaultRowHeight="16" x14ac:dyDescent="0.2"/>
  <cols>
    <col min="1" max="1" width="14.83203125" customWidth="1"/>
    <col min="2" max="2" width="18.6640625" style="2" customWidth="1"/>
    <col min="3" max="3" width="15.33203125" customWidth="1"/>
    <col min="4" max="4" width="18" style="3" customWidth="1"/>
    <col min="5" max="5" width="29.6640625" style="2" customWidth="1"/>
  </cols>
  <sheetData>
    <row r="1" spans="1:5" ht="19" x14ac:dyDescent="0.25">
      <c r="A1" s="23" t="s">
        <v>18</v>
      </c>
      <c r="B1" s="24" t="s">
        <v>19</v>
      </c>
      <c r="C1" s="23" t="s">
        <v>20</v>
      </c>
      <c r="D1" s="25" t="s">
        <v>21</v>
      </c>
      <c r="E1" s="26" t="s">
        <v>22</v>
      </c>
    </row>
    <row r="2" spans="1:5" x14ac:dyDescent="0.2">
      <c r="A2" s="2">
        <f>SUM('Monthly KPIs'!B:B)</f>
        <v>1936669.3199999998</v>
      </c>
      <c r="B2" s="2">
        <f>_xlfn.XLOOKUP(MAX('Monthly KPIs'!A:A),'Monthly KPIs'!A:A,'Monthly KPIs'!B:B)</f>
        <v>9245.6</v>
      </c>
      <c r="C2" cm="1">
        <f t="array" ref="C2">INDEX('Monthly KPIs'!D:D,COUNTA('Monthly KPIs'!D:D))</f>
        <v>21.01</v>
      </c>
      <c r="D2" s="3" cm="1">
        <f t="array" ref="D2">INDEX(Churn!D:D,COUNTA(Churn!D:D))</f>
        <v>0.14395796847635728</v>
      </c>
      <c r="E2" s="2">
        <f>C2 / D2</f>
        <v>145.94537712895377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C12D-8D7A-4648-930E-7934FA43BE23}">
  <dimension ref="A1:H3"/>
  <sheetViews>
    <sheetView showGridLines="0" zoomScale="117" zoomScaleNormal="229" workbookViewId="0">
      <selection activeCell="K14" sqref="K14"/>
    </sheetView>
  </sheetViews>
  <sheetFormatPr baseColWidth="10" defaultRowHeight="27" x14ac:dyDescent="0.35"/>
  <cols>
    <col min="1" max="1" width="22.5" customWidth="1"/>
    <col min="2" max="2" width="25" style="10" customWidth="1"/>
    <col min="3" max="3" width="17.83203125" customWidth="1"/>
    <col min="4" max="4" width="20.33203125" style="2" customWidth="1"/>
    <col min="5" max="5" width="17.83203125" customWidth="1"/>
    <col min="6" max="6" width="15" style="11" bestFit="1" customWidth="1"/>
    <col min="7" max="7" width="19.1640625" customWidth="1"/>
    <col min="8" max="8" width="18.6640625" customWidth="1"/>
  </cols>
  <sheetData>
    <row r="1" spans="1:8" ht="27" customHeight="1" x14ac:dyDescent="0.45">
      <c r="B1" s="27"/>
      <c r="C1" s="27"/>
      <c r="D1" s="27"/>
      <c r="E1" s="27"/>
      <c r="F1" s="27"/>
      <c r="G1" s="27"/>
    </row>
    <row r="2" spans="1:8" ht="37" x14ac:dyDescent="0.45">
      <c r="B2" s="29" t="s">
        <v>26</v>
      </c>
      <c r="C2" s="28"/>
      <c r="D2" s="28"/>
      <c r="E2" s="28"/>
      <c r="F2" s="28"/>
      <c r="G2" s="28"/>
    </row>
    <row r="3" spans="1:8" ht="32" x14ac:dyDescent="0.4">
      <c r="A3" s="12" t="s">
        <v>23</v>
      </c>
      <c r="B3" s="14">
        <f>'Executive Summary'!A2</f>
        <v>1936669.3199999998</v>
      </c>
      <c r="C3" s="12" t="s">
        <v>24</v>
      </c>
      <c r="D3" s="14">
        <f>'Executive Summary'!B2</f>
        <v>9245.6</v>
      </c>
      <c r="E3" s="13" t="s">
        <v>20</v>
      </c>
      <c r="F3" s="14">
        <f>'Executive Summary'!C2</f>
        <v>21.01</v>
      </c>
      <c r="G3" s="13" t="s">
        <v>25</v>
      </c>
      <c r="H3" s="15">
        <f>'Executive Summary'!D2</f>
        <v>0.14395796847635728</v>
      </c>
    </row>
  </sheetData>
  <mergeCells count="1">
    <mergeCell ref="B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KPIs</vt:lpstr>
      <vt:lpstr>Churn</vt:lpstr>
      <vt:lpstr>A-B Test</vt:lpstr>
      <vt:lpstr>Executive 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Adhikari</dc:creator>
  <cp:lastModifiedBy>Siddharth Adhikari</cp:lastModifiedBy>
  <dcterms:created xsi:type="dcterms:W3CDTF">2026-02-19T19:46:57Z</dcterms:created>
  <dcterms:modified xsi:type="dcterms:W3CDTF">2026-02-20T05:15:39Z</dcterms:modified>
</cp:coreProperties>
</file>